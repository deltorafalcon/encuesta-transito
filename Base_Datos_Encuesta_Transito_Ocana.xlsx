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04090F"/>
      <sz val="10"/>
    </font>
    <font>
      <name val="Arial"/>
      <i val="1"/>
      <color rgb="FFFFFFFF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A7A42"/>
      <sz val="10"/>
    </font>
    <font>
      <name val="Arial"/>
      <b val="1"/>
      <color rgb="FFCC1111"/>
      <sz val="10"/>
    </font>
    <font>
      <name val="Arial"/>
      <b val="1"/>
      <color rgb="FF00695C"/>
      <sz val="10"/>
    </font>
    <font>
      <name val="Arial"/>
      <b val="1"/>
      <color rgb="FF2E7D32"/>
      <sz val="10"/>
    </font>
    <font>
      <name val="Arial"/>
      <b val="1"/>
      <color rgb="FFBf6000"/>
      <sz val="10"/>
    </font>
    <font>
      <name val="Arial"/>
      <b val="1"/>
      <color rgb="FFFFFFFF"/>
      <sz val="14"/>
    </font>
    <font>
      <name val="Arial"/>
      <color rgb="FF04090F"/>
      <sz val="9"/>
    </font>
    <font>
      <name val="Arial"/>
      <b val="1"/>
      <color rgb="FFFFFFFF"/>
      <sz val="9"/>
    </font>
    <font>
      <name val="Arial"/>
      <b val="1"/>
      <color rgb="FF003893"/>
      <sz val="26"/>
    </font>
    <font>
      <name val="Arial"/>
      <b val="1"/>
      <color rgb="FF1A7A42"/>
      <sz val="26"/>
    </font>
    <font>
      <name val="Arial"/>
      <b val="1"/>
      <color rgb="FFCE1126"/>
      <sz val="26"/>
    </font>
    <font>
      <name val="Arial"/>
      <b val="1"/>
      <color rgb="FF7A4A00"/>
      <sz val="26"/>
    </font>
    <font>
      <name val="Arial"/>
      <b val="1"/>
      <color rgb="FF992222"/>
      <sz val="10"/>
    </font>
    <font>
      <name val="Arial"/>
      <color rgb="FF992222"/>
      <sz val="10"/>
    </font>
    <font>
      <name val="Arial"/>
      <color rgb="FFBf6000"/>
      <sz val="10"/>
    </font>
    <font>
      <name val="Arial"/>
      <b val="1"/>
      <color rgb="FF827717"/>
      <sz val="10"/>
    </font>
    <font>
      <name val="Arial"/>
      <color rgb="FF827717"/>
      <sz val="10"/>
    </font>
    <font>
      <name val="Arial"/>
      <color rgb="FF2E7D32"/>
      <sz val="10"/>
    </font>
    <font>
      <name val="Arial"/>
      <color rgb="FF00695C"/>
      <sz val="10"/>
    </font>
    <font>
      <name val="Arial"/>
      <b val="1"/>
      <color rgb="FF04090F"/>
      <sz val="11"/>
    </font>
    <font>
      <name val="Arial"/>
      <color rgb="FF222222"/>
      <sz val="9"/>
    </font>
  </fonts>
  <fills count="18">
    <fill>
      <patternFill/>
    </fill>
    <fill>
      <patternFill patternType="gray125"/>
    </fill>
    <fill>
      <patternFill patternType="solid">
        <fgColor rgb="FF003893"/>
      </patternFill>
    </fill>
    <fill>
      <patternFill patternType="solid">
        <fgColor rgb="FFFFD100"/>
      </patternFill>
    </fill>
    <fill>
      <patternFill patternType="solid">
        <fgColor rgb="FFCE1126"/>
      </patternFill>
    </fill>
    <fill>
      <patternFill patternType="solid">
        <fgColor rgb="FF0A2444"/>
      </patternFill>
    </fill>
    <fill>
      <patternFill patternType="solid">
        <fgColor rgb="FFFFFFFF"/>
      </patternFill>
    </fill>
    <fill>
      <patternFill patternType="solid">
        <fgColor rgb="FFE8F0FA"/>
      </patternFill>
    </fill>
    <fill>
      <patternFill patternType="solid">
        <fgColor rgb="FFE8F8F0"/>
      </patternFill>
    </fill>
    <fill>
      <patternFill patternType="solid">
        <fgColor rgb="FFFFEAEA"/>
      </patternFill>
    </fill>
    <fill>
      <patternFill patternType="solid">
        <fgColor rgb="FFE0F2F1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1A7A42"/>
      </patternFill>
    </fill>
    <fill>
      <patternFill patternType="solid">
        <fgColor rgb="FF7A4A00"/>
      </patternFill>
    </fill>
    <fill>
      <patternFill patternType="solid">
        <fgColor rgb="FFFFFDE7"/>
      </patternFill>
    </fill>
    <fill>
      <patternFill patternType="solid">
        <fgColor rgb="FFFFF8DC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>
        <color rgb="FF1A3A6A"/>
      </left>
      <right style="thin">
        <color rgb="FF1A3A6A"/>
      </right>
      <top style="medium">
        <color rgb="FFFFD100"/>
      </top>
      <bottom style="medium">
        <color rgb="FFFFD1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left" vertical="center"/>
    </xf>
    <xf numFmtId="0" fontId="19" fillId="9" borderId="2" applyAlignment="1" pivotButton="0" quotePrefix="0" xfId="0">
      <alignment horizontal="center" vertical="center"/>
    </xf>
    <xf numFmtId="164" fontId="19" fillId="9" borderId="2" applyAlignment="1" pivotButton="0" quotePrefix="0" xfId="0">
      <alignment horizontal="center" vertical="center"/>
    </xf>
    <xf numFmtId="0" fontId="20" fillId="12" borderId="2" applyAlignment="1" pivotButton="0" quotePrefix="0" xfId="0">
      <alignment horizontal="left" vertical="center"/>
    </xf>
    <xf numFmtId="0" fontId="20" fillId="12" borderId="2" applyAlignment="1" pivotButton="0" quotePrefix="0" xfId="0">
      <alignment horizontal="center" vertical="center"/>
    </xf>
    <xf numFmtId="164" fontId="20" fillId="12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5" borderId="2" applyAlignment="1" pivotButton="0" quotePrefix="0" xfId="0">
      <alignment horizontal="left" vertical="center"/>
    </xf>
    <xf numFmtId="0" fontId="22" fillId="15" borderId="2" applyAlignment="1" pivotButton="0" quotePrefix="0" xfId="0">
      <alignment horizontal="center" vertical="center"/>
    </xf>
    <xf numFmtId="164" fontId="22" fillId="15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/>
    </xf>
    <xf numFmtId="0" fontId="23" fillId="11" borderId="2" applyAlignment="1" pivotButton="0" quotePrefix="0" xfId="0">
      <alignment horizontal="center" vertical="center"/>
    </xf>
    <xf numFmtId="164" fontId="23" fillId="11" borderId="2" applyAlignment="1" pivotButton="0" quotePrefix="0" xfId="0">
      <alignment horizontal="center" vertical="center"/>
    </xf>
    <xf numFmtId="0" fontId="24" fillId="10" borderId="2" applyAlignment="1" pivotButton="0" quotePrefix="0" xfId="0">
      <alignment horizontal="left" vertical="center"/>
    </xf>
    <xf numFmtId="0" fontId="24" fillId="10" borderId="2" applyAlignment="1" pivotButton="0" quotePrefix="0" xfId="0">
      <alignment horizontal="center" vertical="center"/>
    </xf>
    <xf numFmtId="164" fontId="24" fillId="10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25" fillId="16" borderId="2" pivotButton="0" quotePrefix="0" xfId="0"/>
    <xf numFmtId="0" fontId="26" fillId="17" borderId="2" applyAlignment="1" pivotButton="0" quotePrefix="0" xfId="0">
      <alignment vertical="top" wrapText="1"/>
    </xf>
    <xf numFmtId="0" fontId="13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6" customWidth="1" min="4" max="4"/>
    <col width="32" customWidth="1" min="5" max="5"/>
    <col width="28" customWidth="1" min="6" max="6"/>
    <col width="22" customWidth="1" min="7" max="7"/>
    <col width="16" customWidth="1" min="8" max="8"/>
    <col width="24" customWidth="1" min="9" max="9"/>
  </cols>
  <sheetData>
    <row r="1" ht="30" customHeight="1">
      <c r="A1" s="1" t="inlineStr">
        <is>
          <t>SECRETARÍA DE TRÁNSITO DE OCAÑA – BASE DE DATOS ENCUESTA DE SATISFACCIÓN</t>
        </is>
      </c>
    </row>
    <row r="2" ht="22" customHeight="1">
      <c r="A2" s="2" t="inlineStr">
        <is>
          <t>Capacitación: IPAT · FUN · IUITS · Planimetría · Normativa de Tránsito y Transporte  |  Fecha: 21-04-2026</t>
        </is>
      </c>
    </row>
    <row r="3" ht="18" customHeight="1">
      <c r="A3" s="3" t="inlineStr">
        <is>
          <t>Instructor: Ing. José Castro  |  IDEAMOS  |  Federación Nacional de Municipios</t>
        </is>
      </c>
    </row>
    <row r="4" ht="6" customHeight="1"/>
    <row r="5" ht="36" customHeight="1">
      <c r="A5" s="4" t="inlineStr">
        <is>
          <t>N°</t>
        </is>
      </c>
      <c r="B5" s="4" t="inlineStr">
        <is>
          <t>Fecha</t>
        </is>
      </c>
      <c r="C5" s="4" t="inlineStr">
        <is>
          <t>Nombre Completo</t>
        </is>
      </c>
      <c r="D5" s="4" t="inlineStr">
        <is>
          <t>Cédula</t>
        </is>
      </c>
      <c r="E5" s="4" t="inlineStr">
        <is>
          <t>Correo Electrónico</t>
        </is>
      </c>
      <c r="F5" s="4" t="inlineStr">
        <is>
          <t>Cargo / Actividad</t>
        </is>
      </c>
      <c r="G5" s="4" t="inlineStr">
        <is>
          <t>¿Le gustó el contenido?</t>
        </is>
      </c>
      <c r="H5" s="4" t="inlineStr">
        <is>
          <t>Estrellas (1-5)</t>
        </is>
      </c>
      <c r="I5" s="4" t="inlineStr">
        <is>
          <t>Nivel de Conformidad</t>
        </is>
      </c>
    </row>
    <row r="6" ht="20" customHeight="1">
      <c r="A6" s="5" t="n">
        <v>1</v>
      </c>
      <c r="B6" s="6" t="inlineStr">
        <is>
          <t>21-04-2026</t>
        </is>
      </c>
      <c r="C6" s="6" t="inlineStr">
        <is>
          <t>Carlos Alberto Hernández</t>
        </is>
      </c>
      <c r="D6" s="6" t="inlineStr">
        <is>
          <t>10234567</t>
        </is>
      </c>
      <c r="E6" s="6" t="inlineStr">
        <is>
          <t>carlos.h@correo.com</t>
        </is>
      </c>
      <c r="F6" s="6" t="inlineStr">
        <is>
          <t>Inspector de Tránsito</t>
        </is>
      </c>
      <c r="G6" s="7" t="inlineStr">
        <is>
          <t>Sí</t>
        </is>
      </c>
      <c r="H6" s="8" t="n">
        <v>5</v>
      </c>
      <c r="I6" s="6" t="inlineStr">
        <is>
          <t>Excelente – Capacitación de alta calidad</t>
        </is>
      </c>
    </row>
    <row r="7" ht="20" customHeight="1">
      <c r="A7" s="9" t="n">
        <v>2</v>
      </c>
      <c r="B7" s="10" t="inlineStr">
        <is>
          <t>21-04-2026</t>
        </is>
      </c>
      <c r="C7" s="10" t="inlineStr">
        <is>
          <t>María Isabel Romero</t>
        </is>
      </c>
      <c r="D7" s="10" t="inlineStr">
        <is>
          <t>45678901</t>
        </is>
      </c>
      <c r="E7" s="10" t="inlineStr">
        <is>
          <t>mromero@transito.gov.co</t>
        </is>
      </c>
      <c r="F7" s="10" t="inlineStr">
        <is>
          <t>Agente de Tránsito</t>
        </is>
      </c>
      <c r="G7" s="7" t="inlineStr">
        <is>
          <t>Sí</t>
        </is>
      </c>
      <c r="H7" s="11" t="n">
        <v>4</v>
      </c>
      <c r="I7" s="10" t="inlineStr">
        <is>
          <t>Muy bueno – Superó expectativas</t>
        </is>
      </c>
    </row>
    <row r="8" ht="20" customHeight="1">
      <c r="A8" s="5" t="n">
        <v>3</v>
      </c>
      <c r="B8" s="6" t="inlineStr">
        <is>
          <t>21-04-2026</t>
        </is>
      </c>
      <c r="C8" s="6" t="inlineStr">
        <is>
          <t>Jorge Luis Peña</t>
        </is>
      </c>
      <c r="D8" s="6" t="inlineStr">
        <is>
          <t>98765432</t>
        </is>
      </c>
      <c r="E8" s="6" t="inlineStr">
        <is>
          <t>jlpena@gmail.com</t>
        </is>
      </c>
      <c r="F8" s="6" t="inlineStr">
        <is>
          <t>Técnico Administrativo</t>
        </is>
      </c>
      <c r="G8" s="12" t="inlineStr">
        <is>
          <t>No</t>
        </is>
      </c>
      <c r="H8" s="13" t="n">
        <v>2</v>
      </c>
      <c r="I8" s="6" t="inlineStr">
        <is>
          <t>Regular – Con algunas fallas</t>
        </is>
      </c>
    </row>
    <row r="9" ht="20" customHeight="1">
      <c r="A9" s="9" t="n">
        <v>4</v>
      </c>
      <c r="B9" s="10" t="n"/>
      <c r="C9" s="10" t="n"/>
      <c r="D9" s="10" t="n"/>
      <c r="E9" s="10" t="n"/>
      <c r="F9" s="10" t="n"/>
      <c r="G9" s="9" t="n"/>
      <c r="H9" s="9" t="n"/>
      <c r="I9" s="10" t="n"/>
    </row>
    <row r="10" ht="20" customHeight="1">
      <c r="A10" s="5" t="n">
        <v>5</v>
      </c>
      <c r="B10" s="6" t="n"/>
      <c r="C10" s="6" t="n"/>
      <c r="D10" s="6" t="n"/>
      <c r="E10" s="6" t="n"/>
      <c r="F10" s="6" t="n"/>
      <c r="G10" s="5" t="n"/>
      <c r="H10" s="5" t="n"/>
      <c r="I10" s="6" t="n"/>
    </row>
    <row r="11" ht="20" customHeight="1">
      <c r="A11" s="9" t="n">
        <v>6</v>
      </c>
      <c r="B11" s="10" t="n"/>
      <c r="C11" s="10" t="n"/>
      <c r="D11" s="10" t="n"/>
      <c r="E11" s="10" t="n"/>
      <c r="F11" s="10" t="n"/>
      <c r="G11" s="9" t="n"/>
      <c r="H11" s="9" t="n"/>
      <c r="I11" s="10" t="n"/>
    </row>
    <row r="12" ht="20" customHeight="1">
      <c r="A12" s="5" t="n">
        <v>7</v>
      </c>
      <c r="B12" s="6" t="n"/>
      <c r="C12" s="6" t="n"/>
      <c r="D12" s="6" t="n"/>
      <c r="E12" s="6" t="n"/>
      <c r="F12" s="6" t="n"/>
      <c r="G12" s="5" t="n"/>
      <c r="H12" s="5" t="n"/>
      <c r="I12" s="6" t="n"/>
    </row>
    <row r="13" ht="20" customHeight="1">
      <c r="A13" s="9" t="n">
        <v>8</v>
      </c>
      <c r="B13" s="10" t="n"/>
      <c r="C13" s="10" t="n"/>
      <c r="D13" s="10" t="n"/>
      <c r="E13" s="10" t="n"/>
      <c r="F13" s="10" t="n"/>
      <c r="G13" s="9" t="n"/>
      <c r="H13" s="9" t="n"/>
      <c r="I13" s="10" t="n"/>
    </row>
    <row r="14" ht="20" customHeight="1">
      <c r="A14" s="5" t="n">
        <v>9</v>
      </c>
      <c r="B14" s="6" t="n"/>
      <c r="C14" s="6" t="n"/>
      <c r="D14" s="6" t="n"/>
      <c r="E14" s="6" t="n"/>
      <c r="F14" s="6" t="n"/>
      <c r="G14" s="5" t="n"/>
      <c r="H14" s="5" t="n"/>
      <c r="I14" s="6" t="n"/>
    </row>
    <row r="15" ht="20" customHeight="1">
      <c r="A15" s="9" t="n">
        <v>10</v>
      </c>
      <c r="B15" s="10" t="n"/>
      <c r="C15" s="10" t="n"/>
      <c r="D15" s="10" t="n"/>
      <c r="E15" s="10" t="n"/>
      <c r="F15" s="10" t="n"/>
      <c r="G15" s="9" t="n"/>
      <c r="H15" s="9" t="n"/>
      <c r="I15" s="10" t="n"/>
    </row>
    <row r="16" ht="20" customHeight="1">
      <c r="A16" s="5" t="n">
        <v>11</v>
      </c>
      <c r="B16" s="6" t="n"/>
      <c r="C16" s="6" t="n"/>
      <c r="D16" s="6" t="n"/>
      <c r="E16" s="6" t="n"/>
      <c r="F16" s="6" t="n"/>
      <c r="G16" s="5" t="n"/>
      <c r="H16" s="5" t="n"/>
      <c r="I16" s="6" t="n"/>
    </row>
    <row r="17" ht="20" customHeight="1">
      <c r="A17" s="9" t="n">
        <v>12</v>
      </c>
      <c r="B17" s="10" t="n"/>
      <c r="C17" s="10" t="n"/>
      <c r="D17" s="10" t="n"/>
      <c r="E17" s="10" t="n"/>
      <c r="F17" s="10" t="n"/>
      <c r="G17" s="9" t="n"/>
      <c r="H17" s="9" t="n"/>
      <c r="I17" s="10" t="n"/>
    </row>
    <row r="18" ht="20" customHeight="1">
      <c r="A18" s="5" t="n">
        <v>13</v>
      </c>
      <c r="B18" s="6" t="n"/>
      <c r="C18" s="6" t="n"/>
      <c r="D18" s="6" t="n"/>
      <c r="E18" s="6" t="n"/>
      <c r="F18" s="6" t="n"/>
      <c r="G18" s="5" t="n"/>
      <c r="H18" s="5" t="n"/>
      <c r="I18" s="6" t="n"/>
    </row>
    <row r="19" ht="20" customHeight="1">
      <c r="A19" s="9" t="n">
        <v>14</v>
      </c>
      <c r="B19" s="10" t="n"/>
      <c r="C19" s="10" t="n"/>
      <c r="D19" s="10" t="n"/>
      <c r="E19" s="10" t="n"/>
      <c r="F19" s="10" t="n"/>
      <c r="G19" s="9" t="n"/>
      <c r="H19" s="9" t="n"/>
      <c r="I19" s="10" t="n"/>
    </row>
    <row r="20" ht="20" customHeight="1">
      <c r="A20" s="5" t="n">
        <v>15</v>
      </c>
      <c r="B20" s="6" t="n"/>
      <c r="C20" s="6" t="n"/>
      <c r="D20" s="6" t="n"/>
      <c r="E20" s="6" t="n"/>
      <c r="F20" s="6" t="n"/>
      <c r="G20" s="5" t="n"/>
      <c r="H20" s="5" t="n"/>
      <c r="I20" s="6" t="n"/>
    </row>
    <row r="21" ht="20" customHeight="1">
      <c r="A21" s="9" t="n">
        <v>16</v>
      </c>
      <c r="B21" s="10" t="n"/>
      <c r="C21" s="10" t="n"/>
      <c r="D21" s="10" t="n"/>
      <c r="E21" s="10" t="n"/>
      <c r="F21" s="10" t="n"/>
      <c r="G21" s="9" t="n"/>
      <c r="H21" s="9" t="n"/>
      <c r="I21" s="10" t="n"/>
    </row>
    <row r="22" ht="20" customHeight="1">
      <c r="A22" s="5" t="n">
        <v>17</v>
      </c>
      <c r="B22" s="6" t="n"/>
      <c r="C22" s="6" t="n"/>
      <c r="D22" s="6" t="n"/>
      <c r="E22" s="6" t="n"/>
      <c r="F22" s="6" t="n"/>
      <c r="G22" s="5" t="n"/>
      <c r="H22" s="5" t="n"/>
      <c r="I22" s="6" t="n"/>
    </row>
    <row r="23" ht="20" customHeight="1">
      <c r="A23" s="9" t="n">
        <v>18</v>
      </c>
      <c r="B23" s="10" t="n"/>
      <c r="C23" s="10" t="n"/>
      <c r="D23" s="10" t="n"/>
      <c r="E23" s="10" t="n"/>
      <c r="F23" s="10" t="n"/>
      <c r="G23" s="9" t="n"/>
      <c r="H23" s="9" t="n"/>
      <c r="I23" s="10" t="n"/>
    </row>
    <row r="24" ht="20" customHeight="1">
      <c r="A24" s="5" t="n">
        <v>19</v>
      </c>
      <c r="B24" s="6" t="n"/>
      <c r="C24" s="6" t="n"/>
      <c r="D24" s="6" t="n"/>
      <c r="E24" s="6" t="n"/>
      <c r="F24" s="6" t="n"/>
      <c r="G24" s="5" t="n"/>
      <c r="H24" s="5" t="n"/>
      <c r="I24" s="6" t="n"/>
    </row>
    <row r="25" ht="20" customHeight="1">
      <c r="A25" s="9" t="n">
        <v>20</v>
      </c>
      <c r="B25" s="10" t="n"/>
      <c r="C25" s="10" t="n"/>
      <c r="D25" s="10" t="n"/>
      <c r="E25" s="10" t="n"/>
      <c r="F25" s="10" t="n"/>
      <c r="G25" s="9" t="n"/>
      <c r="H25" s="9" t="n"/>
      <c r="I25" s="10" t="n"/>
    </row>
    <row r="26" ht="20" customHeight="1">
      <c r="A26" s="5" t="n">
        <v>21</v>
      </c>
      <c r="B26" s="6" t="n"/>
      <c r="C26" s="6" t="n"/>
      <c r="D26" s="6" t="n"/>
      <c r="E26" s="6" t="n"/>
      <c r="F26" s="6" t="n"/>
      <c r="G26" s="5" t="n"/>
      <c r="H26" s="5" t="n"/>
      <c r="I26" s="6" t="n"/>
    </row>
    <row r="27" ht="20" customHeight="1">
      <c r="A27" s="9" t="n">
        <v>22</v>
      </c>
      <c r="B27" s="10" t="n"/>
      <c r="C27" s="10" t="n"/>
      <c r="D27" s="10" t="n"/>
      <c r="E27" s="10" t="n"/>
      <c r="F27" s="10" t="n"/>
      <c r="G27" s="9" t="n"/>
      <c r="H27" s="9" t="n"/>
      <c r="I27" s="10" t="n"/>
    </row>
    <row r="28" ht="20" customHeight="1">
      <c r="A28" s="5" t="n">
        <v>23</v>
      </c>
      <c r="B28" s="6" t="n"/>
      <c r="C28" s="6" t="n"/>
      <c r="D28" s="6" t="n"/>
      <c r="E28" s="6" t="n"/>
      <c r="F28" s="6" t="n"/>
      <c r="G28" s="5" t="n"/>
      <c r="H28" s="5" t="n"/>
      <c r="I28" s="6" t="n"/>
    </row>
    <row r="29" ht="20" customHeight="1">
      <c r="A29" s="9" t="n">
        <v>24</v>
      </c>
      <c r="B29" s="10" t="n"/>
      <c r="C29" s="10" t="n"/>
      <c r="D29" s="10" t="n"/>
      <c r="E29" s="10" t="n"/>
      <c r="F29" s="10" t="n"/>
      <c r="G29" s="9" t="n"/>
      <c r="H29" s="9" t="n"/>
      <c r="I29" s="10" t="n"/>
    </row>
    <row r="30" ht="20" customHeight="1">
      <c r="A30" s="5" t="n">
        <v>25</v>
      </c>
      <c r="B30" s="6" t="n"/>
      <c r="C30" s="6" t="n"/>
      <c r="D30" s="6" t="n"/>
      <c r="E30" s="6" t="n"/>
      <c r="F30" s="6" t="n"/>
      <c r="G30" s="5" t="n"/>
      <c r="H30" s="5" t="n"/>
      <c r="I30" s="6" t="n"/>
    </row>
    <row r="31" ht="20" customHeight="1">
      <c r="A31" s="9" t="n">
        <v>26</v>
      </c>
      <c r="B31" s="10" t="n"/>
      <c r="C31" s="10" t="n"/>
      <c r="D31" s="10" t="n"/>
      <c r="E31" s="10" t="n"/>
      <c r="F31" s="10" t="n"/>
      <c r="G31" s="9" t="n"/>
      <c r="H31" s="9" t="n"/>
      <c r="I31" s="10" t="n"/>
    </row>
    <row r="32" ht="20" customHeight="1">
      <c r="A32" s="5" t="n">
        <v>27</v>
      </c>
      <c r="B32" s="6" t="n"/>
      <c r="C32" s="6" t="n"/>
      <c r="D32" s="6" t="n"/>
      <c r="E32" s="6" t="n"/>
      <c r="F32" s="6" t="n"/>
      <c r="G32" s="5" t="n"/>
      <c r="H32" s="5" t="n"/>
      <c r="I32" s="6" t="n"/>
    </row>
    <row r="33" ht="20" customHeight="1">
      <c r="A33" s="9" t="n">
        <v>28</v>
      </c>
      <c r="B33" s="10" t="n"/>
      <c r="C33" s="10" t="n"/>
      <c r="D33" s="10" t="n"/>
      <c r="E33" s="10" t="n"/>
      <c r="F33" s="10" t="n"/>
      <c r="G33" s="9" t="n"/>
      <c r="H33" s="9" t="n"/>
      <c r="I33" s="10" t="n"/>
    </row>
    <row r="34" ht="20" customHeight="1">
      <c r="A34" s="5" t="n">
        <v>29</v>
      </c>
      <c r="B34" s="6" t="n"/>
      <c r="C34" s="6" t="n"/>
      <c r="D34" s="6" t="n"/>
      <c r="E34" s="6" t="n"/>
      <c r="F34" s="6" t="n"/>
      <c r="G34" s="5" t="n"/>
      <c r="H34" s="5" t="n"/>
      <c r="I34" s="6" t="n"/>
    </row>
    <row r="35" ht="20" customHeight="1">
      <c r="A35" s="9" t="n">
        <v>30</v>
      </c>
      <c r="B35" s="10" t="n"/>
      <c r="C35" s="10" t="n"/>
      <c r="D35" s="10" t="n"/>
      <c r="E35" s="10" t="n"/>
      <c r="F35" s="10" t="n"/>
      <c r="G35" s="9" t="n"/>
      <c r="H35" s="9" t="n"/>
      <c r="I35" s="10" t="n"/>
    </row>
    <row r="36" ht="20" customHeight="1">
      <c r="A36" s="5" t="n">
        <v>31</v>
      </c>
      <c r="B36" s="6" t="n"/>
      <c r="C36" s="6" t="n"/>
      <c r="D36" s="6" t="n"/>
      <c r="E36" s="6" t="n"/>
      <c r="F36" s="6" t="n"/>
      <c r="G36" s="5" t="n"/>
      <c r="H36" s="5" t="n"/>
      <c r="I36" s="6" t="n"/>
    </row>
    <row r="37" ht="20" customHeight="1">
      <c r="A37" s="9" t="n">
        <v>32</v>
      </c>
      <c r="B37" s="10" t="n"/>
      <c r="C37" s="10" t="n"/>
      <c r="D37" s="10" t="n"/>
      <c r="E37" s="10" t="n"/>
      <c r="F37" s="10" t="n"/>
      <c r="G37" s="9" t="n"/>
      <c r="H37" s="9" t="n"/>
      <c r="I37" s="10" t="n"/>
    </row>
    <row r="38" ht="20" customHeight="1">
      <c r="A38" s="5" t="n">
        <v>33</v>
      </c>
      <c r="B38" s="6" t="n"/>
      <c r="C38" s="6" t="n"/>
      <c r="D38" s="6" t="n"/>
      <c r="E38" s="6" t="n"/>
      <c r="F38" s="6" t="n"/>
      <c r="G38" s="5" t="n"/>
      <c r="H38" s="5" t="n"/>
      <c r="I38" s="6" t="n"/>
    </row>
    <row r="39" ht="20" customHeight="1">
      <c r="A39" s="9" t="n">
        <v>34</v>
      </c>
      <c r="B39" s="10" t="n"/>
      <c r="C39" s="10" t="n"/>
      <c r="D39" s="10" t="n"/>
      <c r="E39" s="10" t="n"/>
      <c r="F39" s="10" t="n"/>
      <c r="G39" s="9" t="n"/>
      <c r="H39" s="9" t="n"/>
      <c r="I39" s="10" t="n"/>
    </row>
    <row r="40" ht="20" customHeight="1">
      <c r="A40" s="5" t="n">
        <v>35</v>
      </c>
      <c r="B40" s="6" t="n"/>
      <c r="C40" s="6" t="n"/>
      <c r="D40" s="6" t="n"/>
      <c r="E40" s="6" t="n"/>
      <c r="F40" s="6" t="n"/>
      <c r="G40" s="5" t="n"/>
      <c r="H40" s="5" t="n"/>
      <c r="I40" s="6" t="n"/>
    </row>
    <row r="41" ht="20" customHeight="1">
      <c r="A41" s="9" t="n">
        <v>36</v>
      </c>
      <c r="B41" s="10" t="n"/>
      <c r="C41" s="10" t="n"/>
      <c r="D41" s="10" t="n"/>
      <c r="E41" s="10" t="n"/>
      <c r="F41" s="10" t="n"/>
      <c r="G41" s="9" t="n"/>
      <c r="H41" s="9" t="n"/>
      <c r="I41" s="10" t="n"/>
    </row>
    <row r="42" ht="20" customHeight="1">
      <c r="A42" s="5" t="n">
        <v>37</v>
      </c>
      <c r="B42" s="6" t="n"/>
      <c r="C42" s="6" t="n"/>
      <c r="D42" s="6" t="n"/>
      <c r="E42" s="6" t="n"/>
      <c r="F42" s="6" t="n"/>
      <c r="G42" s="5" t="n"/>
      <c r="H42" s="5" t="n"/>
      <c r="I42" s="6" t="n"/>
    </row>
    <row r="43" ht="20" customHeight="1">
      <c r="A43" s="9" t="n">
        <v>38</v>
      </c>
      <c r="B43" s="10" t="n"/>
      <c r="C43" s="10" t="n"/>
      <c r="D43" s="10" t="n"/>
      <c r="E43" s="10" t="n"/>
      <c r="F43" s="10" t="n"/>
      <c r="G43" s="9" t="n"/>
      <c r="H43" s="9" t="n"/>
      <c r="I43" s="10" t="n"/>
    </row>
    <row r="44" ht="20" customHeight="1">
      <c r="A44" s="5" t="n">
        <v>39</v>
      </c>
      <c r="B44" s="6" t="n"/>
      <c r="C44" s="6" t="n"/>
      <c r="D44" s="6" t="n"/>
      <c r="E44" s="6" t="n"/>
      <c r="F44" s="6" t="n"/>
      <c r="G44" s="5" t="n"/>
      <c r="H44" s="5" t="n"/>
      <c r="I44" s="6" t="n"/>
    </row>
    <row r="45" ht="20" customHeight="1">
      <c r="A45" s="9" t="n">
        <v>40</v>
      </c>
      <c r="B45" s="10" t="n"/>
      <c r="C45" s="10" t="n"/>
      <c r="D45" s="10" t="n"/>
      <c r="E45" s="10" t="n"/>
      <c r="F45" s="10" t="n"/>
      <c r="G45" s="9" t="n"/>
      <c r="H45" s="9" t="n"/>
      <c r="I45" s="10" t="n"/>
    </row>
    <row r="46" ht="20" customHeight="1">
      <c r="A46" s="5" t="n">
        <v>41</v>
      </c>
      <c r="B46" s="6" t="n"/>
      <c r="C46" s="6" t="n"/>
      <c r="D46" s="6" t="n"/>
      <c r="E46" s="6" t="n"/>
      <c r="F46" s="6" t="n"/>
      <c r="G46" s="5" t="n"/>
      <c r="H46" s="5" t="n"/>
      <c r="I46" s="6" t="n"/>
    </row>
    <row r="47" ht="20" customHeight="1">
      <c r="A47" s="9" t="n">
        <v>42</v>
      </c>
      <c r="B47" s="10" t="n"/>
      <c r="C47" s="10" t="n"/>
      <c r="D47" s="10" t="n"/>
      <c r="E47" s="10" t="n"/>
      <c r="F47" s="10" t="n"/>
      <c r="G47" s="9" t="n"/>
      <c r="H47" s="9" t="n"/>
      <c r="I47" s="10" t="n"/>
    </row>
    <row r="48" ht="20" customHeight="1">
      <c r="A48" s="5" t="n">
        <v>43</v>
      </c>
      <c r="B48" s="6" t="n"/>
      <c r="C48" s="6" t="n"/>
      <c r="D48" s="6" t="n"/>
      <c r="E48" s="6" t="n"/>
      <c r="F48" s="6" t="n"/>
      <c r="G48" s="5" t="n"/>
      <c r="H48" s="5" t="n"/>
      <c r="I48" s="6" t="n"/>
    </row>
    <row r="49" ht="20" customHeight="1">
      <c r="A49" s="9" t="n">
        <v>44</v>
      </c>
      <c r="B49" s="10" t="n"/>
      <c r="C49" s="10" t="n"/>
      <c r="D49" s="10" t="n"/>
      <c r="E49" s="10" t="n"/>
      <c r="F49" s="10" t="n"/>
      <c r="G49" s="9" t="n"/>
      <c r="H49" s="9" t="n"/>
      <c r="I49" s="10" t="n"/>
    </row>
    <row r="50" ht="20" customHeight="1">
      <c r="A50" s="5" t="n">
        <v>45</v>
      </c>
      <c r="B50" s="6" t="n"/>
      <c r="C50" s="6" t="n"/>
      <c r="D50" s="6" t="n"/>
      <c r="E50" s="6" t="n"/>
      <c r="F50" s="6" t="n"/>
      <c r="G50" s="5" t="n"/>
      <c r="H50" s="5" t="n"/>
      <c r="I50" s="6" t="n"/>
    </row>
    <row r="51" ht="20" customHeight="1">
      <c r="A51" s="9" t="n">
        <v>46</v>
      </c>
      <c r="B51" s="10" t="n"/>
      <c r="C51" s="10" t="n"/>
      <c r="D51" s="10" t="n"/>
      <c r="E51" s="10" t="n"/>
      <c r="F51" s="10" t="n"/>
      <c r="G51" s="9" t="n"/>
      <c r="H51" s="9" t="n"/>
      <c r="I51" s="10" t="n"/>
    </row>
    <row r="52" ht="20" customHeight="1">
      <c r="A52" s="5" t="n">
        <v>47</v>
      </c>
      <c r="B52" s="6" t="n"/>
      <c r="C52" s="6" t="n"/>
      <c r="D52" s="6" t="n"/>
      <c r="E52" s="6" t="n"/>
      <c r="F52" s="6" t="n"/>
      <c r="G52" s="5" t="n"/>
      <c r="H52" s="5" t="n"/>
      <c r="I52" s="6" t="n"/>
    </row>
    <row r="53" ht="20" customHeight="1">
      <c r="A53" s="9" t="n">
        <v>48</v>
      </c>
      <c r="B53" s="10" t="n"/>
      <c r="C53" s="10" t="n"/>
      <c r="D53" s="10" t="n"/>
      <c r="E53" s="10" t="n"/>
      <c r="F53" s="10" t="n"/>
      <c r="G53" s="9" t="n"/>
      <c r="H53" s="9" t="n"/>
      <c r="I53" s="10" t="n"/>
    </row>
    <row r="54" ht="20" customHeight="1">
      <c r="A54" s="5" t="n">
        <v>49</v>
      </c>
      <c r="B54" s="6" t="n"/>
      <c r="C54" s="6" t="n"/>
      <c r="D54" s="6" t="n"/>
      <c r="E54" s="6" t="n"/>
      <c r="F54" s="6" t="n"/>
      <c r="G54" s="5" t="n"/>
      <c r="H54" s="5" t="n"/>
      <c r="I54" s="6" t="n"/>
    </row>
    <row r="55" ht="20" customHeight="1">
      <c r="A55" s="9" t="n">
        <v>50</v>
      </c>
      <c r="B55" s="10" t="n"/>
      <c r="C55" s="10" t="n"/>
      <c r="D55" s="10" t="n"/>
      <c r="E55" s="10" t="n"/>
      <c r="F55" s="10" t="n"/>
      <c r="G55" s="9" t="n"/>
      <c r="H55" s="9" t="n"/>
      <c r="I55" s="10" t="n"/>
    </row>
    <row r="56" ht="20" customHeight="1">
      <c r="A56" s="5" t="n">
        <v>51</v>
      </c>
      <c r="B56" s="6" t="n"/>
      <c r="C56" s="6" t="n"/>
      <c r="D56" s="6" t="n"/>
      <c r="E56" s="6" t="n"/>
      <c r="F56" s="6" t="n"/>
      <c r="G56" s="5" t="n"/>
      <c r="H56" s="5" t="n"/>
      <c r="I56" s="6" t="n"/>
    </row>
    <row r="57"/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8" customWidth="1" min="5" max="5"/>
    <col width="4" customWidth="1" min="6" max="6"/>
    <col width="20" customWidth="1" min="7" max="7"/>
  </cols>
  <sheetData>
    <row r="1" ht="34" customHeight="1">
      <c r="A1" s="14" t="inlineStr">
        <is>
          <t>📊  DASHBOARD – ENCUESTA DE SATISFACCIÓN  ·  21-04-2026</t>
        </is>
      </c>
    </row>
    <row r="2" ht="18" customHeight="1">
      <c r="A2" s="15" t="inlineStr">
        <is>
          <t>Ing. José Castro  ·  IDEAMOS  ·  Federación Nacional de Municipios  ·  Secretaría de Tránsito de Ocaña</t>
        </is>
      </c>
    </row>
    <row r="3" ht="10" customHeight="1"/>
    <row r="4" ht="30" customHeight="1">
      <c r="A4" s="16" t="inlineStr">
        <is>
          <t>TOTAL PARTICIPANTES</t>
        </is>
      </c>
      <c r="C4" s="17" t="inlineStr">
        <is>
          <t>✅ LE GUSTÓ EL CONTENIDO</t>
        </is>
      </c>
      <c r="E4" s="18" t="inlineStr">
        <is>
          <t>❌ NO LE GUSTÓ</t>
        </is>
      </c>
      <c r="G4" s="19" t="inlineStr">
        <is>
          <t>⭐ PROMEDIO ESTRELLAS</t>
        </is>
      </c>
    </row>
    <row r="5" ht="44" customHeight="1">
      <c r="A5" s="20">
        <f>COUNTA(Respuestas!C6:C57)</f>
        <v/>
      </c>
      <c r="C5" s="21">
        <f>COUNTIF(Respuestas!G6:G57,"Sí")</f>
        <v/>
      </c>
      <c r="E5" s="22">
        <f>COUNTIF(Respuestas!G6:G57,"No")</f>
        <v/>
      </c>
      <c r="G5" s="23">
        <f>IFERROR(ROUND(AVERAGE(Respuestas!H6:H57),1),"—")</f>
        <v/>
      </c>
    </row>
    <row r="6" ht="10" customHeight="1"/>
    <row r="7" ht="22" customHeight="1">
      <c r="A7" s="24" t="inlineStr">
        <is>
          <t>DISTRIBUCIÓN POR NIVEL DE CONFORMIDAD (ESTRELLAS)</t>
        </is>
      </c>
    </row>
    <row r="8" ht="22" customHeight="1">
      <c r="A8" s="25" t="inlineStr">
        <is>
          <t>Estrellas</t>
        </is>
      </c>
      <c r="B8" s="25" t="inlineStr">
        <is>
          <t>Descripción</t>
        </is>
      </c>
      <c r="C8" s="25" t="inlineStr">
        <is>
          <t>Cantidad</t>
        </is>
      </c>
      <c r="D8" s="25" t="inlineStr">
        <is>
          <t>% del Total</t>
        </is>
      </c>
    </row>
    <row r="9" ht="20" customHeight="1">
      <c r="A9" s="26" t="inlineStr">
        <is>
          <t>⭐</t>
        </is>
      </c>
      <c r="B9" s="27" t="inlineStr">
        <is>
          <t>Muy bajo</t>
        </is>
      </c>
      <c r="C9" s="28">
        <f>COUNTIF(Respuestas!H6:H57,1)</f>
        <v/>
      </c>
      <c r="D9" s="29">
        <f>IFERROR(C9/COUNTA(Respuestas!H6:H57),0)</f>
        <v/>
      </c>
    </row>
    <row r="10" ht="20" customHeight="1">
      <c r="A10" s="13" t="inlineStr">
        <is>
          <t>⭐⭐</t>
        </is>
      </c>
      <c r="B10" s="30" t="inlineStr">
        <is>
          <t>Regular</t>
        </is>
      </c>
      <c r="C10" s="31">
        <f>COUNTIF(Respuestas!H6:H57,2)</f>
        <v/>
      </c>
      <c r="D10" s="32">
        <f>IFERROR(C10/COUNTA(Respuestas!H6:H57),0)</f>
        <v/>
      </c>
    </row>
    <row r="11" ht="20" customHeight="1">
      <c r="A11" s="33" t="inlineStr">
        <is>
          <t>⭐⭐⭐</t>
        </is>
      </c>
      <c r="B11" s="34" t="inlineStr">
        <is>
          <t>Bueno</t>
        </is>
      </c>
      <c r="C11" s="35">
        <f>COUNTIF(Respuestas!H6:H57,3)</f>
        <v/>
      </c>
      <c r="D11" s="36">
        <f>IFERROR(C11/COUNTA(Respuestas!H6:H57),0)</f>
        <v/>
      </c>
    </row>
    <row r="12" ht="20" customHeight="1">
      <c r="A12" s="11" t="inlineStr">
        <is>
          <t>⭐⭐⭐⭐</t>
        </is>
      </c>
      <c r="B12" s="37" t="inlineStr">
        <is>
          <t>Muy bueno</t>
        </is>
      </c>
      <c r="C12" s="38">
        <f>COUNTIF(Respuestas!H6:H57,4)</f>
        <v/>
      </c>
      <c r="D12" s="39">
        <f>IFERROR(C12/COUNTA(Respuestas!H6:H57),0)</f>
        <v/>
      </c>
    </row>
    <row r="13" ht="20" customHeight="1">
      <c r="A13" s="8" t="inlineStr">
        <is>
          <t>⭐⭐⭐⭐⭐</t>
        </is>
      </c>
      <c r="B13" s="40" t="inlineStr">
        <is>
          <t>Excelente</t>
        </is>
      </c>
      <c r="C13" s="41">
        <f>COUNTIF(Respuestas!H6:H57,5)</f>
        <v/>
      </c>
      <c r="D13" s="42">
        <f>IFERROR(C13/COUNTA(Respuestas!H6:H57),0)</f>
        <v/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GUÍA DE USO – SISTEMA DE ENCUESTA CON CÓDIGO QR</t>
        </is>
      </c>
    </row>
    <row r="3" ht="20" customHeight="1">
      <c r="A3" s="43" t="inlineStr">
        <is>
          <t>PASO 1</t>
        </is>
      </c>
      <c r="B3" s="44" t="inlineStr">
        <is>
          <t>Aloja la encuesta en GitHub Pages</t>
        </is>
      </c>
    </row>
    <row r="4" ht="45" customHeight="1">
      <c r="A4" s="45" t="inlineStr">
        <is>
          <t>1. Ve a github.com/deltorafalcon
2. Crea un repositorio llamado 'encuesta-transito'
3. Sube el archivo HTML renombrado como 'index.html'
4. En Settings &gt; Pages selecciona 'main' branch → Save
5. La URL será: https://deltorafalcon.github.io/encuesta-transito/</t>
        </is>
      </c>
    </row>
    <row r="5" ht="20" customHeight="1"/>
    <row r="6" ht="8" customHeight="1"/>
    <row r="7" ht="20" customHeight="1">
      <c r="A7" s="43" t="inlineStr">
        <is>
          <t>PASO 2</t>
        </is>
      </c>
      <c r="B7" s="44" t="inlineStr">
        <is>
          <t>Conecta Formspree para recibir respuestas</t>
        </is>
      </c>
    </row>
    <row r="8" ht="45" customHeight="1">
      <c r="A8" s="45" t="inlineStr">
        <is>
          <t>1. Regístrate GRATIS en formspree.io
2. Crea un nuevo formulario y copia el ID (ej: xyzabcde)
3. Abre el archivo HTML y busca 'YOUR_FORM_ID'
4. Reemplázalo con tu ID real → guarda y sube de nuevo a GitHub</t>
        </is>
      </c>
    </row>
    <row r="9" ht="20" customHeight="1"/>
    <row r="10" ht="8" customHeight="1"/>
    <row r="11" ht="20" customHeight="1">
      <c r="A11" s="43" t="inlineStr">
        <is>
          <t>PASO 3</t>
        </is>
      </c>
      <c r="B11" s="44" t="inlineStr">
        <is>
          <t>Distribuye el código QR</t>
        </is>
      </c>
    </row>
    <row r="12" ht="45" customHeight="1">
      <c r="A12" s="45" t="inlineStr">
        <is>
          <t>1. Abre el archivo 'codigo_qr_encuesta.png'
2. Imprime en tamaño A5 o más grande
3. Colócalo visible en el salón de capacitación
4. Los participantes escanean con su celular y responden</t>
        </is>
      </c>
    </row>
    <row r="13" ht="20" customHeight="1"/>
    <row r="14" ht="8" customHeight="1"/>
    <row r="15" ht="20" customHeight="1">
      <c r="A15" s="43" t="inlineStr">
        <is>
          <t>PASO 4</t>
        </is>
      </c>
      <c r="B15" s="44" t="inlineStr">
        <is>
          <t>Descarga y registra respuestas</t>
        </is>
      </c>
    </row>
    <row r="16" ht="45" customHeight="1">
      <c r="A16" s="45" t="inlineStr">
        <is>
          <t>1. En formspree.io ve a tu formulario &gt; Submissions
2. Exporta como CSV
3. Copia los datos en la hoja 'Respuestas' desde la fila 6
4. El Dashboard se actualiza automáticamente con fórmulas</t>
        </is>
      </c>
    </row>
    <row r="17" ht="20" customHeight="1"/>
    <row r="18" ht="8" customHeight="1"/>
    <row r="19" ht="20" customHeight="1">
      <c r="A19" s="46" t="inlineStr">
        <is>
          <t>NOTA</t>
        </is>
      </c>
      <c r="B19" s="44" t="inlineStr">
        <is>
          <t>URL directa de la encuesta</t>
        </is>
      </c>
    </row>
    <row r="20" ht="45" customHeight="1">
      <c r="A20" s="45" t="inlineStr">
        <is>
          <t>https://deltorafalcon.github.io/encuesta-transito/
Formspree gratuito: hasta 50 respuestas/mes
Sin necesidad de servidor propio ni base de datos externa</t>
        </is>
      </c>
    </row>
    <row r="21" ht="20" customHeight="1"/>
    <row r="22" ht="8" customHeight="1"/>
  </sheetData>
  <mergeCells count="11">
    <mergeCell ref="B7:F7"/>
    <mergeCell ref="A16:F17"/>
    <mergeCell ref="B15:F15"/>
    <mergeCell ref="A1:F1"/>
    <mergeCell ref="B11:F11"/>
    <mergeCell ref="B3:F3"/>
    <mergeCell ref="B19:F19"/>
    <mergeCell ref="A8:F9"/>
    <mergeCell ref="A12:F13"/>
    <mergeCell ref="A4:F5"/>
    <mergeCell ref="A20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2026-04-20T23:08:43Z</dcterms:created>
  <dcterms:modified xmlns:dcterms="http://purl.org/dc/terms/" xmlns:xsi="http://www.w3.org/2001/XMLSchema-instance" xsi:type="dcterms:W3CDTF">2026-04-20T23:08:43Z</dcterms:modified>
</cp:coreProperties>
</file>